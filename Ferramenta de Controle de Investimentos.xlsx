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b363942dd8dae/Desktop/Cursos Santander/Excel/Excel - DIO/Projetos/"/>
    </mc:Choice>
  </mc:AlternateContent>
  <xr:revisionPtr revIDLastSave="23" documentId="8_{ADDBB0A6-FF48-462B-8F73-631999B29DC1}" xr6:coauthVersionLast="47" xr6:coauthVersionMax="47" xr10:uidLastSave="{92B8C822-09A3-4462-A359-2FFD3ABB2CDA}"/>
  <bookViews>
    <workbookView xWindow="-108" yWindow="-108" windowWidth="23256" windowHeight="12456" tabRatio="0" xr2:uid="{7647BDCF-C92B-4012-89D1-3145F1593557}"/>
  </bookViews>
  <sheets>
    <sheet name="Ferramenta de Controle de Inves" sheetId="1" r:id="rId1"/>
    <sheet name="Planilha2" sheetId="2" r:id="rId2"/>
  </sheets>
  <definedNames>
    <definedName name="aporte">'Ferramenta de Controle de Inves'!$D$17</definedName>
    <definedName name="patrimonio">'Ferramenta de Controle de Inves'!$D$20</definedName>
    <definedName name="qtde_anos">'Ferramenta de Controle de Inves'!$D$18</definedName>
    <definedName name="Rendimento_Carteira">'Ferramenta de Controle de Inves'!$D$13</definedName>
    <definedName name="salario">'Ferramenta de Controle de Inves'!$D$12</definedName>
    <definedName name="sugestao_investimento">'Ferramenta de Controle de Inves'!$D$14</definedName>
    <definedName name="taxa_mensal">'Ferramenta de Controle de Inves'!$D$19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5" i="1" l="1"/>
  <c r="D31" i="1"/>
  <c r="A16" i="2"/>
  <c r="A17" i="2"/>
  <c r="A18" i="2"/>
  <c r="A19" i="2"/>
  <c r="A20" i="2"/>
  <c r="A15" i="2"/>
  <c r="A10" i="2"/>
  <c r="A11" i="2"/>
  <c r="A12" i="2"/>
  <c r="A13" i="2"/>
  <c r="A14" i="2"/>
  <c r="A9" i="2"/>
  <c r="C38" i="1" s="1"/>
  <c r="A4" i="2"/>
  <c r="A5" i="2"/>
  <c r="A6" i="2"/>
  <c r="A7" i="2"/>
  <c r="A8" i="2"/>
  <c r="A3" i="2"/>
  <c r="C25" i="1"/>
  <c r="D25" i="1" s="1"/>
  <c r="C26" i="1"/>
  <c r="D26" i="1" s="1"/>
  <c r="C27" i="1"/>
  <c r="D27" i="1" s="1"/>
  <c r="C28" i="1"/>
  <c r="D28" i="1" s="1"/>
  <c r="C24" i="1"/>
  <c r="D24" i="1" s="1"/>
  <c r="D20" i="1"/>
  <c r="D21" i="1" s="1"/>
  <c r="D14" i="1"/>
  <c r="C36" i="1"/>
  <c r="D36" i="1" l="1"/>
  <c r="D38" i="1"/>
  <c r="D35" i="1"/>
  <c r="C39" i="1"/>
  <c r="D39" i="1" s="1"/>
  <c r="C37" i="1"/>
  <c r="D37" i="1" s="1"/>
  <c r="C40" i="1"/>
  <c r="D40" i="1" s="1"/>
  <c r="D41" i="1" l="1"/>
</calcChain>
</file>

<file path=xl/sharedStrings.xml><?xml version="1.0" encoding="utf-8"?>
<sst xmlns="http://schemas.openxmlformats.org/spreadsheetml/2006/main" count="65" uniqueCount="31">
  <si>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</si>
  <si>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Perfil</t>
  </si>
  <si>
    <t>Moderado</t>
  </si>
  <si>
    <t>Conservador</t>
  </si>
  <si>
    <t>Percentual Sugerido</t>
  </si>
  <si>
    <t>Valores</t>
  </si>
  <si>
    <t>Papel</t>
  </si>
  <si>
    <t>Tijolo</t>
  </si>
  <si>
    <t>Desenvolvimento</t>
  </si>
  <si>
    <t>Híbridos</t>
  </si>
  <si>
    <t>FOFs</t>
  </si>
  <si>
    <t>Hotelarias</t>
  </si>
  <si>
    <t>Tipo de FII</t>
  </si>
  <si>
    <t>%</t>
  </si>
  <si>
    <t>Chave</t>
  </si>
  <si>
    <t>Agressivo</t>
  </si>
  <si>
    <t xml:space="preserve">                         Salário</t>
  </si>
  <si>
    <t xml:space="preserve">                         Rendimento</t>
  </si>
  <si>
    <t xml:space="preserve">                         Sugestão Investimento (30%)</t>
  </si>
  <si>
    <t xml:space="preserve">                         Quanto investir por mês?</t>
  </si>
  <si>
    <t xml:space="preserve">                         Por quantos anos?</t>
  </si>
  <si>
    <t xml:space="preserve">                         Taxa de Rendimento mensal?</t>
  </si>
  <si>
    <t xml:space="preserve">                         Quanto de Patrimônio acumulado?</t>
  </si>
  <si>
    <t xml:space="preserve">                         Dividendos mensais?</t>
  </si>
  <si>
    <t xml:space="preserve">                         Em 2 anos</t>
  </si>
  <si>
    <t xml:space="preserve">                         Em 5 anos</t>
  </si>
  <si>
    <t xml:space="preserve">                         Em 10 anos  </t>
  </si>
  <si>
    <t xml:space="preserve">                         Em 20 anos</t>
  </si>
  <si>
    <t xml:space="preserve">                         Em 30 anos</t>
  </si>
  <si>
    <t xml:space="preserve">TIPO DE FII          </t>
  </si>
  <si>
    <t xml:space="preserve">TOTAL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</si>
</sst>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Arial Rounded MT Bold"/>
      <family val="2"/>
    </font>
    <font>
      <b/>
      <sz val="20"/>
      <color theme="0"/>
      <name val="Arial Rounded MT Bold"/>
      <family val="2"/>
    </font>
    <font>
      <b/>
      <sz val="14"/>
      <color theme="2" tint="-0.749992370372631"/>
      <name val="Segoe UI Emoji"/>
      <family val="2"/>
    </font>
    <font>
      <sz val="12"/>
      <color theme="0"/>
      <name val="Calibri"/>
      <family val="2"/>
      <scheme val="minor"/>
    </font>
    <font>
      <b/>
      <sz val="12"/>
      <color theme="5" tint="0.79998168889431442"/>
      <name val="Calibri"/>
      <family val="2"/>
      <scheme val="minor"/>
    </font>
    <font>
      <b/>
      <sz val="11"/>
      <color rgb="FFFFF2CC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theme="7" tint="0.7999816888943144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theme="1" tint="0.14999847407452621"/>
      </left>
      <right/>
      <top style="medium">
        <color theme="1" tint="0.14999847407452621"/>
      </top>
      <bottom/>
      <diagonal/>
    </border>
    <border>
      <left/>
      <right/>
      <top style="medium">
        <color theme="1" tint="0.14999847407452621"/>
      </top>
      <bottom/>
      <diagonal/>
    </border>
    <border>
      <left/>
      <right style="medium">
        <color theme="1" tint="0.14999847407452621"/>
      </right>
      <top style="medium">
        <color theme="1" tint="0.14999847407452621"/>
      </top>
      <bottom/>
      <diagonal/>
    </border>
    <border>
      <left/>
      <right style="medium">
        <color theme="1" tint="0.14999847407452621"/>
      </right>
      <top/>
      <bottom/>
      <diagonal/>
    </border>
    <border>
      <left/>
      <right/>
      <top/>
      <bottom style="medium">
        <color theme="1" tint="0.14999847407452621"/>
      </bottom>
      <diagonal/>
    </border>
    <border>
      <left/>
      <right style="medium">
        <color theme="1" tint="0.14999847407452621"/>
      </right>
      <top/>
      <bottom style="medium">
        <color theme="1" tint="0.14999847407452621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rgb="FFFBBF24"/>
      </right>
      <top style="medium">
        <color rgb="FFFBBF24"/>
      </top>
      <bottom/>
      <diagonal/>
    </border>
    <border>
      <left style="medium">
        <color rgb="FFFBBF24"/>
      </left>
      <right/>
      <top style="medium">
        <color rgb="FFFBBF24"/>
      </top>
      <bottom/>
      <diagonal/>
    </border>
    <border>
      <left/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medium">
        <color rgb="FFF59E0B"/>
      </left>
      <right/>
      <top style="medium">
        <color rgb="FFF59E0B"/>
      </top>
      <bottom style="medium">
        <color rgb="FFF59E0B"/>
      </bottom>
      <diagonal/>
    </border>
    <border>
      <left/>
      <right style="medium">
        <color rgb="FFF59E0B"/>
      </right>
      <top style="medium">
        <color rgb="FFF59E0B"/>
      </top>
      <bottom style="medium">
        <color rgb="FFFBBF24"/>
      </bottom>
      <diagonal/>
    </border>
    <border>
      <left/>
      <right style="medium">
        <color rgb="FFF59E0B"/>
      </right>
      <top/>
      <bottom style="medium">
        <color rgb="FFF59E0B"/>
      </bottom>
      <diagonal/>
    </border>
    <border>
      <left style="medium">
        <color rgb="FFF59E0B"/>
      </left>
      <right style="medium">
        <color rgb="FFF59E0B"/>
      </right>
      <top/>
      <bottom style="medium">
        <color rgb="FFF59E0B"/>
      </bottom>
      <diagonal/>
    </border>
    <border>
      <left style="medium">
        <color rgb="FFF59E0B"/>
      </left>
      <right/>
      <top/>
      <bottom style="medium">
        <color rgb="FFF59E0B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/>
      <right style="medium">
        <color rgb="FFF59E0B"/>
      </right>
      <top style="medium">
        <color rgb="FFF59E0B"/>
      </top>
      <bottom/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/>
      <diagonal/>
    </border>
    <border>
      <left style="medium">
        <color rgb="FFF59E0B"/>
      </left>
      <right/>
      <top style="medium">
        <color rgb="FFF59E0B"/>
      </top>
      <bottom/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BBF24"/>
      </bottom>
      <diagonal/>
    </border>
    <border>
      <left/>
      <right style="medium">
        <color rgb="FFFBBF24"/>
      </right>
      <top/>
      <bottom/>
      <diagonal/>
    </border>
    <border>
      <left style="medium">
        <color rgb="FFFBBF2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4" borderId="0" xfId="0" applyFill="1"/>
    <xf numFmtId="0" fontId="5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0" fillId="4" borderId="8" xfId="0" applyFill="1" applyBorder="1"/>
    <xf numFmtId="0" fontId="0" fillId="4" borderId="4" xfId="0" applyFill="1" applyBorder="1"/>
    <xf numFmtId="0" fontId="0" fillId="4" borderId="6" xfId="0" applyFill="1" applyBorder="1"/>
    <xf numFmtId="0" fontId="9" fillId="4" borderId="0" xfId="3" applyFont="1" applyFill="1" applyAlignment="1">
      <alignment horizontal="center" vertical="center"/>
    </xf>
    <xf numFmtId="0" fontId="3" fillId="4" borderId="0" xfId="0" applyFont="1" applyFill="1"/>
    <xf numFmtId="0" fontId="11" fillId="4" borderId="0" xfId="0" applyFont="1" applyFill="1"/>
    <xf numFmtId="0" fontId="6" fillId="4" borderId="2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right" vertical="center"/>
    </xf>
    <xf numFmtId="0" fontId="12" fillId="4" borderId="0" xfId="0" applyFont="1" applyFill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0" fillId="4" borderId="9" xfId="0" applyFont="1" applyFill="1" applyBorder="1"/>
    <xf numFmtId="164" fontId="15" fillId="4" borderId="10" xfId="0" applyNumberFormat="1" applyFont="1" applyFill="1" applyBorder="1" applyAlignment="1">
      <alignment horizontal="center" vertical="center"/>
    </xf>
    <xf numFmtId="9" fontId="13" fillId="4" borderId="11" xfId="0" applyNumberFormat="1" applyFont="1" applyFill="1" applyBorder="1" applyAlignment="1">
      <alignment horizontal="center" vertical="center"/>
    </xf>
    <xf numFmtId="9" fontId="13" fillId="4" borderId="13" xfId="0" applyNumberFormat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left" vertical="center"/>
    </xf>
    <xf numFmtId="8" fontId="7" fillId="4" borderId="15" xfId="0" applyNumberFormat="1" applyFont="1" applyFill="1" applyBorder="1" applyAlignment="1">
      <alignment horizontal="center" vertical="center"/>
    </xf>
    <xf numFmtId="8" fontId="7" fillId="4" borderId="16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left" vertical="center"/>
    </xf>
    <xf numFmtId="8" fontId="8" fillId="4" borderId="17" xfId="0" applyNumberFormat="1" applyFont="1" applyFill="1" applyBorder="1" applyAlignment="1">
      <alignment horizontal="center" vertical="center"/>
    </xf>
    <xf numFmtId="8" fontId="8" fillId="4" borderId="12" xfId="0" applyNumberFormat="1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left" vertical="center"/>
    </xf>
    <xf numFmtId="8" fontId="8" fillId="4" borderId="19" xfId="0" applyNumberFormat="1" applyFont="1" applyFill="1" applyBorder="1" applyAlignment="1">
      <alignment horizontal="center" vertical="center"/>
    </xf>
    <xf numFmtId="8" fontId="8" fillId="4" borderId="20" xfId="0" applyNumberFormat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left"/>
    </xf>
    <xf numFmtId="0" fontId="7" fillId="4" borderId="15" xfId="0" applyFont="1" applyFill="1" applyBorder="1" applyAlignment="1">
      <alignment horizontal="left"/>
    </xf>
    <xf numFmtId="0" fontId="7" fillId="4" borderId="11" xfId="0" applyFont="1" applyFill="1" applyBorder="1" applyAlignment="1">
      <alignment horizontal="left"/>
    </xf>
    <xf numFmtId="0" fontId="7" fillId="4" borderId="17" xfId="0" applyFont="1" applyFill="1" applyBorder="1" applyAlignment="1">
      <alignment horizontal="left"/>
    </xf>
    <xf numFmtId="0" fontId="7" fillId="4" borderId="14" xfId="0" applyFont="1" applyFill="1" applyBorder="1" applyAlignment="1">
      <alignment horizontal="left" vertical="center"/>
    </xf>
    <xf numFmtId="0" fontId="7" fillId="4" borderId="15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7" fillId="4" borderId="17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/>
    </xf>
    <xf numFmtId="164" fontId="8" fillId="4" borderId="20" xfId="0" applyNumberFormat="1" applyFont="1" applyFill="1" applyBorder="1" applyAlignment="1">
      <alignment horizontal="center" vertical="center"/>
    </xf>
    <xf numFmtId="164" fontId="3" fillId="4" borderId="17" xfId="0" applyNumberFormat="1" applyFont="1" applyFill="1" applyBorder="1" applyAlignment="1">
      <alignment horizontal="center" vertical="center"/>
    </xf>
    <xf numFmtId="164" fontId="3" fillId="4" borderId="21" xfId="0" applyNumberFormat="1" applyFont="1" applyFill="1" applyBorder="1" applyAlignment="1">
      <alignment horizontal="center" vertical="center"/>
    </xf>
    <xf numFmtId="164" fontId="16" fillId="5" borderId="16" xfId="1" applyNumberFormat="1" applyFont="1" applyFill="1" applyBorder="1" applyAlignment="1" applyProtection="1">
      <alignment horizontal="center" vertical="center"/>
      <protection locked="0"/>
    </xf>
    <xf numFmtId="0" fontId="16" fillId="5" borderId="12" xfId="0" applyFont="1" applyFill="1" applyBorder="1" applyAlignment="1" applyProtection="1">
      <alignment horizontal="center" vertical="center"/>
      <protection locked="0"/>
    </xf>
    <xf numFmtId="10" fontId="16" fillId="5" borderId="12" xfId="2" applyNumberFormat="1" applyFont="1" applyFill="1" applyBorder="1" applyAlignment="1" applyProtection="1">
      <alignment horizontal="center" vertical="center"/>
      <protection locked="0"/>
    </xf>
    <xf numFmtId="164" fontId="16" fillId="5" borderId="16" xfId="0" applyNumberFormat="1" applyFont="1" applyFill="1" applyBorder="1" applyAlignment="1" applyProtection="1">
      <alignment horizontal="center" vertical="center"/>
      <protection locked="0"/>
    </xf>
    <xf numFmtId="10" fontId="16" fillId="5" borderId="12" xfId="0" applyNumberFormat="1" applyFont="1" applyFill="1" applyBorder="1" applyAlignment="1" applyProtection="1">
      <alignment horizontal="center" vertical="center"/>
      <protection locked="0"/>
    </xf>
    <xf numFmtId="0" fontId="16" fillId="5" borderId="0" xfId="3" applyFont="1" applyFill="1" applyAlignment="1" applyProtection="1">
      <alignment horizontal="right" vertical="center"/>
      <protection locked="0"/>
    </xf>
    <xf numFmtId="164" fontId="10" fillId="4" borderId="0" xfId="0" applyNumberFormat="1" applyFont="1" applyFill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9" fontId="13" fillId="4" borderId="14" xfId="0" applyNumberFormat="1" applyFont="1" applyFill="1" applyBorder="1" applyAlignment="1">
      <alignment horizontal="center" vertical="center"/>
    </xf>
    <xf numFmtId="164" fontId="3" fillId="4" borderId="15" xfId="0" applyNumberFormat="1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left"/>
    </xf>
    <xf numFmtId="0" fontId="17" fillId="4" borderId="17" xfId="0" applyFont="1" applyFill="1" applyBorder="1" applyAlignment="1">
      <alignment horizontal="left"/>
    </xf>
    <xf numFmtId="0" fontId="17" fillId="4" borderId="18" xfId="0" applyFont="1" applyFill="1" applyBorder="1" applyAlignment="1">
      <alignment horizontal="left"/>
    </xf>
    <xf numFmtId="0" fontId="17" fillId="4" borderId="19" xfId="0" applyFont="1" applyFill="1" applyBorder="1" applyAlignment="1">
      <alignment horizontal="left"/>
    </xf>
  </cellXfs>
  <cellStyles count="4">
    <cellStyle name="20% - Ênfase2" xfId="3" builtinId="34"/>
    <cellStyle name="Moeda" xfId="1" builtinId="4"/>
    <cellStyle name="Normal" xfId="0" builtinId="0"/>
    <cellStyle name="Porcentagem" xfId="2" builtinId="5"/>
  </cellStyles>
  <dxfs count="1">
    <dxf>
      <font>
        <b/>
        <i val="0"/>
        <color theme="1"/>
      </font>
      <fill>
        <gradientFill degree="90">
          <stop position="0">
            <color theme="0"/>
          </stop>
          <stop position="0.5">
            <color theme="7"/>
          </stop>
          <stop position="1">
            <color theme="0"/>
          </stop>
        </gradientFill>
      </fill>
    </dxf>
  </dxfs>
  <tableStyles count="0" defaultTableStyle="TableStyleMedium2" defaultPivotStyle="PivotStyleLight16"/>
  <colors>
    <mruColors>
      <color rgb="FFFBBF24"/>
      <color rgb="FFF59E0B"/>
      <color rgb="FFD97706"/>
      <color rgb="FF6B7280"/>
      <color rgb="FF65A30D"/>
      <color rgb="FFEA580C"/>
      <color rgb="FF2563EB"/>
      <color rgb="FFFFFF66"/>
      <color rgb="FFFFFF00"/>
      <color rgb="FFF089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  <a:sp3d/>
      </c:spPr>
    </c:sideWall>
    <c:backWall>
      <c:thickness val="0"/>
      <c:spPr>
        <a:noFill/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  <a:sp3d/>
      </c:spPr>
    </c:backWall>
    <c:plotArea>
      <c:layout>
        <c:manualLayout>
          <c:layoutTarget val="inner"/>
          <c:xMode val="edge"/>
          <c:yMode val="edge"/>
          <c:x val="8.6247205218462179E-3"/>
          <c:y val="1.6435990300008519E-2"/>
          <c:w val="0.55667904767235987"/>
          <c:h val="0.94100927013595492"/>
        </c:manualLayout>
      </c:layout>
      <c:pie3DChart>
        <c:varyColors val="1"/>
        <c:ser>
          <c:idx val="0"/>
          <c:order val="0"/>
          <c:tx>
            <c:strRef>
              <c:f>'Ferramenta de Controle de Inves'!$C$34</c:f>
              <c:strCache>
                <c:ptCount val="1"/>
                <c:pt idx="0">
                  <c:v>Percentual Sugerido</c:v>
                </c:pt>
              </c:strCache>
            </c:strRef>
          </c:tx>
          <c:spPr>
            <a:effectLst>
              <a:outerShdw blurRad="127000" dist="444500" dir="4740000" sx="85000" sy="85000" rotWithShape="0">
                <a:srgbClr val="FBBF24">
                  <a:alpha val="8000"/>
                </a:srgbClr>
              </a:outerShdw>
            </a:effectLst>
          </c:spPr>
          <c:dPt>
            <c:idx val="0"/>
            <c:bubble3D val="0"/>
            <c:spPr>
              <a:solidFill>
                <a:srgbClr val="2563EB"/>
              </a:solidFill>
              <a:ln>
                <a:noFill/>
              </a:ln>
              <a:effectLst>
                <a:outerShdw blurRad="127000" dist="444500" dir="4740000" sx="85000" sy="85000" rotWithShape="0">
                  <a:srgbClr val="FBBF24">
                    <a:alpha val="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1F5-4AEA-BB41-728D03AEF4A3}"/>
              </c:ext>
            </c:extLst>
          </c:dPt>
          <c:dPt>
            <c:idx val="1"/>
            <c:bubble3D val="0"/>
            <c:spPr>
              <a:solidFill>
                <a:srgbClr val="EA580C"/>
              </a:solidFill>
              <a:ln>
                <a:noFill/>
              </a:ln>
              <a:effectLst>
                <a:outerShdw blurRad="127000" dist="444500" dir="4740000" sx="85000" sy="85000" rotWithShape="0">
                  <a:srgbClr val="FBBF24">
                    <a:alpha val="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F15-4839-9BF8-2741B86636EC}"/>
              </c:ext>
            </c:extLst>
          </c:dPt>
          <c:dPt>
            <c:idx val="2"/>
            <c:bubble3D val="0"/>
            <c:spPr>
              <a:solidFill>
                <a:srgbClr val="6B7280"/>
              </a:solidFill>
              <a:ln>
                <a:noFill/>
              </a:ln>
              <a:effectLst>
                <a:outerShdw blurRad="127000" dist="444500" dir="4740000" sx="85000" sy="85000" rotWithShape="0">
                  <a:srgbClr val="FBBF24">
                    <a:alpha val="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1F5-4AEA-BB41-728D03AEF4A3}"/>
              </c:ext>
            </c:extLst>
          </c:dPt>
          <c:dPt>
            <c:idx val="3"/>
            <c:bubble3D val="0"/>
            <c:spPr>
              <a:solidFill>
                <a:srgbClr val="FBBF24"/>
              </a:solidFill>
              <a:ln>
                <a:noFill/>
              </a:ln>
              <a:effectLst>
                <a:outerShdw blurRad="127000" dist="444500" dir="4740000" sx="85000" sy="85000" rotWithShape="0">
                  <a:srgbClr val="FBBF24">
                    <a:alpha val="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1F5-4AEA-BB41-728D03AEF4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127000" dist="444500" dir="4740000" sx="85000" sy="85000" rotWithShape="0">
                  <a:srgbClr val="FBBF24">
                    <a:alpha val="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1F5-4AEA-BB41-728D03AEF4A3}"/>
              </c:ext>
            </c:extLst>
          </c:dPt>
          <c:dPt>
            <c:idx val="5"/>
            <c:bubble3D val="0"/>
            <c:spPr>
              <a:solidFill>
                <a:srgbClr val="65A30D"/>
              </a:solidFill>
              <a:ln>
                <a:noFill/>
              </a:ln>
              <a:effectLst>
                <a:outerShdw blurRad="127000" dist="444500" dir="4740000" sx="85000" sy="85000" rotWithShape="0">
                  <a:srgbClr val="FBBF24">
                    <a:alpha val="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1F5-4AEA-BB41-728D03AEF4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'Ferramenta de Controle de Inves'!$B$35:$B$40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Desenvolvimento</c:v>
                </c:pt>
                <c:pt idx="3">
                  <c:v>Híbridos</c:v>
                </c:pt>
                <c:pt idx="4">
                  <c:v>FOFs</c:v>
                </c:pt>
                <c:pt idx="5">
                  <c:v>Hotelarias</c:v>
                </c:pt>
              </c:strCache>
            </c:strRef>
          </c:cat>
          <c:val>
            <c:numRef>
              <c:f>'Ferramenta de Controle de Inves'!$C$35:$C$40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0.1</c:v>
                </c:pt>
                <c:pt idx="3">
                  <c:v>0.08</c:v>
                </c:pt>
                <c:pt idx="4">
                  <c:v>0.05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9-49E0-96A4-02C4D7F4A6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8991172754749754"/>
          <c:y val="5.4125925956091663E-2"/>
          <c:w val="0.32402290543474915"/>
          <c:h val="0.7880731357688846"/>
        </c:manualLayout>
      </c:layout>
      <c:overlay val="0"/>
      <c:spPr>
        <a:gradFill>
          <a:gsLst>
            <a:gs pos="0">
              <a:schemeClr val="bg2">
                <a:lumMod val="10000"/>
              </a:schemeClr>
            </a:gs>
            <a:gs pos="23000">
              <a:schemeClr val="bg2">
                <a:lumMod val="10000"/>
              </a:schemeClr>
            </a:gs>
            <a:gs pos="69000">
              <a:schemeClr val="bg2">
                <a:lumMod val="25000"/>
              </a:schemeClr>
            </a:gs>
            <a:gs pos="97000">
              <a:schemeClr val="accent4">
                <a:lumMod val="50000"/>
              </a:schemeClr>
            </a:gs>
          </a:gsLst>
          <a:lin ang="162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33</xdr:row>
      <xdr:rowOff>70230</xdr:rowOff>
    </xdr:from>
    <xdr:to>
      <xdr:col>2</xdr:col>
      <xdr:colOff>304801</xdr:colOff>
      <xdr:row>41</xdr:row>
      <xdr:rowOff>123825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12CDF721-16DC-46C2-B8D3-9791E1A83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837782</xdr:colOff>
      <xdr:row>7</xdr:row>
      <xdr:rowOff>156539</xdr:rowOff>
    </xdr:from>
    <xdr:to>
      <xdr:col>1</xdr:col>
      <xdr:colOff>1179948</xdr:colOff>
      <xdr:row>9</xdr:row>
      <xdr:rowOff>43501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A18EB5EC-06AB-46DB-A313-9667F6F90D76}"/>
            </a:ext>
          </a:extLst>
        </xdr:cNvPr>
        <xdr:cNvSpPr/>
      </xdr:nvSpPr>
      <xdr:spPr>
        <a:xfrm rot="173648">
          <a:off x="1355367" y="1439718"/>
          <a:ext cx="342166" cy="253585"/>
        </a:xfrm>
        <a:prstGeom prst="ellipse">
          <a:avLst/>
        </a:prstGeom>
        <a:solidFill>
          <a:schemeClr val="bg2">
            <a:lumMod val="10000"/>
            <a:alpha val="84000"/>
          </a:schemeClr>
        </a:solidFill>
        <a:ln>
          <a:noFill/>
        </a:ln>
        <a:scene3d>
          <a:camera prst="isometricOffAxis1Top"/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2886158</xdr:colOff>
      <xdr:row>6</xdr:row>
      <xdr:rowOff>168586</xdr:rowOff>
    </xdr:from>
    <xdr:to>
      <xdr:col>2</xdr:col>
      <xdr:colOff>296707</xdr:colOff>
      <xdr:row>8</xdr:row>
      <xdr:rowOff>175331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328F4EA2-A1CD-4F93-A68C-166FA7F747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869" t="44318" r="10563" b="47894"/>
        <a:stretch/>
      </xdr:blipFill>
      <xdr:spPr>
        <a:xfrm>
          <a:off x="3405397" y="1261011"/>
          <a:ext cx="964301" cy="370886"/>
        </a:xfrm>
        <a:prstGeom prst="rect">
          <a:avLst/>
        </a:prstGeom>
      </xdr:spPr>
    </xdr:pic>
    <xdr:clientData/>
  </xdr:twoCellAnchor>
  <xdr:twoCellAnchor editAs="oneCell">
    <xdr:from>
      <xdr:col>0</xdr:col>
      <xdr:colOff>439617</xdr:colOff>
      <xdr:row>0</xdr:row>
      <xdr:rowOff>109903</xdr:rowOff>
    </xdr:from>
    <xdr:to>
      <xdr:col>16382</xdr:col>
      <xdr:colOff>45695</xdr:colOff>
      <xdr:row>9</xdr:row>
      <xdr:rowOff>18896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DBF4874-CAF2-4A8C-9898-2D125418F0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785" b="32693"/>
        <a:stretch/>
      </xdr:blipFill>
      <xdr:spPr>
        <a:xfrm>
          <a:off x="439617" y="109903"/>
          <a:ext cx="7059295" cy="1533256"/>
        </a:xfrm>
        <a:prstGeom prst="rect">
          <a:avLst/>
        </a:prstGeom>
      </xdr:spPr>
    </xdr:pic>
    <xdr:clientData/>
  </xdr:twoCellAnchor>
  <xdr:twoCellAnchor>
    <xdr:from>
      <xdr:col>0</xdr:col>
      <xdr:colOff>512497</xdr:colOff>
      <xdr:row>10</xdr:row>
      <xdr:rowOff>6744</xdr:rowOff>
    </xdr:from>
    <xdr:to>
      <xdr:col>4</xdr:col>
      <xdr:colOff>1</xdr:colOff>
      <xdr:row>14</xdr:row>
      <xdr:rowOff>20231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9FEB1357-C2D9-4A37-9946-0AC67997399A}"/>
            </a:ext>
          </a:extLst>
        </xdr:cNvPr>
        <xdr:cNvSpPr/>
      </xdr:nvSpPr>
      <xdr:spPr>
        <a:xfrm>
          <a:off x="512497" y="1843164"/>
          <a:ext cx="6939864" cy="897407"/>
        </a:xfrm>
        <a:prstGeom prst="rect">
          <a:avLst/>
        </a:prstGeom>
        <a:noFill/>
        <a:ln>
          <a:solidFill>
            <a:srgbClr val="F59E0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noFill/>
          </a:endParaRPr>
        </a:p>
      </xdr:txBody>
    </xdr:sp>
    <xdr:clientData/>
  </xdr:twoCellAnchor>
  <xdr:twoCellAnchor>
    <xdr:from>
      <xdr:col>0</xdr:col>
      <xdr:colOff>517407</xdr:colOff>
      <xdr:row>15</xdr:row>
      <xdr:rowOff>0</xdr:rowOff>
    </xdr:from>
    <xdr:to>
      <xdr:col>4</xdr:col>
      <xdr:colOff>0</xdr:colOff>
      <xdr:row>21</xdr:row>
      <xdr:rowOff>0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7CD123BF-A228-4B9B-8949-3D05983E0C9D}"/>
            </a:ext>
          </a:extLst>
        </xdr:cNvPr>
        <xdr:cNvSpPr/>
      </xdr:nvSpPr>
      <xdr:spPr>
        <a:xfrm>
          <a:off x="517407" y="2921000"/>
          <a:ext cx="6933260" cy="1284111"/>
        </a:xfrm>
        <a:prstGeom prst="rect">
          <a:avLst/>
        </a:prstGeom>
        <a:noFill/>
        <a:ln w="12700" cap="flat" cmpd="sng" algn="ctr">
          <a:solidFill>
            <a:srgbClr val="F59E0B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pt-BR" sz="1100">
            <a:noFill/>
          </a:endParaRPr>
        </a:p>
      </xdr:txBody>
    </xdr:sp>
    <xdr:clientData/>
  </xdr:twoCellAnchor>
  <xdr:twoCellAnchor>
    <xdr:from>
      <xdr:col>0</xdr:col>
      <xdr:colOff>514684</xdr:colOff>
      <xdr:row>22</xdr:row>
      <xdr:rowOff>0</xdr:rowOff>
    </xdr:from>
    <xdr:to>
      <xdr:col>4</xdr:col>
      <xdr:colOff>0</xdr:colOff>
      <xdr:row>28</xdr:row>
      <xdr:rowOff>13369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24788464-AC35-4782-81EC-13DB2919C133}"/>
            </a:ext>
          </a:extLst>
        </xdr:cNvPr>
        <xdr:cNvSpPr/>
      </xdr:nvSpPr>
      <xdr:spPr>
        <a:xfrm>
          <a:off x="514684" y="4397963"/>
          <a:ext cx="6935983" cy="1283369"/>
        </a:xfrm>
        <a:prstGeom prst="rect">
          <a:avLst/>
        </a:prstGeom>
        <a:noFill/>
        <a:ln>
          <a:solidFill>
            <a:srgbClr val="F59E0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noFill/>
          </a:endParaRPr>
        </a:p>
      </xdr:txBody>
    </xdr:sp>
    <xdr:clientData/>
  </xdr:twoCellAnchor>
  <xdr:twoCellAnchor>
    <xdr:from>
      <xdr:col>1</xdr:col>
      <xdr:colOff>1933</xdr:colOff>
      <xdr:row>10</xdr:row>
      <xdr:rowOff>13428</xdr:rowOff>
    </xdr:from>
    <xdr:to>
      <xdr:col>3</xdr:col>
      <xdr:colOff>1188720</xdr:colOff>
      <xdr:row>10</xdr:row>
      <xdr:rowOff>266700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75C17448-F83F-4A91-A544-C8AFEC3EF913}"/>
            </a:ext>
          </a:extLst>
        </xdr:cNvPr>
        <xdr:cNvSpPr txBox="1"/>
      </xdr:nvSpPr>
      <xdr:spPr>
        <a:xfrm>
          <a:off x="520093" y="1849848"/>
          <a:ext cx="6924647" cy="253272"/>
        </a:xfrm>
        <a:prstGeom prst="rect">
          <a:avLst/>
        </a:prstGeom>
        <a:gradFill flip="none" rotWithShape="1">
          <a:gsLst>
            <a:gs pos="0">
              <a:schemeClr val="bg2">
                <a:lumMod val="10000"/>
              </a:schemeClr>
            </a:gs>
            <a:gs pos="23000">
              <a:schemeClr val="bg2">
                <a:lumMod val="10000"/>
              </a:schemeClr>
            </a:gs>
            <a:gs pos="69000">
              <a:schemeClr val="bg2">
                <a:lumMod val="25000"/>
              </a:schemeClr>
            </a:gs>
            <a:gs pos="97000">
              <a:schemeClr val="accent4">
                <a:lumMod val="50000"/>
              </a:schemeClr>
            </a:gs>
          </a:gsLst>
          <a:lin ang="16200000" scaled="1"/>
          <a:tileRect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gradFill flip="none" rotWithShape="1">
                <a:gsLst>
                  <a:gs pos="0">
                    <a:schemeClr val="accent2">
                      <a:lumMod val="5000"/>
                      <a:lumOff val="95000"/>
                    </a:schemeClr>
                  </a:gs>
                  <a:gs pos="74000">
                    <a:schemeClr val="accent2">
                      <a:lumMod val="45000"/>
                      <a:lumOff val="55000"/>
                    </a:schemeClr>
                  </a:gs>
                  <a:gs pos="83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Arial Rounded MT Bold" panose="020F0704030504030204" pitchFamily="34" charset="0"/>
            </a:rPr>
            <a:t>CONFIGURAÇÕES</a:t>
          </a:r>
        </a:p>
      </xdr:txBody>
    </xdr:sp>
    <xdr:clientData/>
  </xdr:twoCellAnchor>
  <xdr:twoCellAnchor>
    <xdr:from>
      <xdr:col>1</xdr:col>
      <xdr:colOff>653431</xdr:colOff>
      <xdr:row>11</xdr:row>
      <xdr:rowOff>74176</xdr:rowOff>
    </xdr:from>
    <xdr:to>
      <xdr:col>1</xdr:col>
      <xdr:colOff>707378</xdr:colOff>
      <xdr:row>11</xdr:row>
      <xdr:rowOff>121380</xdr:rowOff>
    </xdr:to>
    <xdr:sp macro="" textlink="">
      <xdr:nvSpPr>
        <xdr:cNvPr id="37" name="Fluxograma: Conector 36">
          <a:extLst>
            <a:ext uri="{FF2B5EF4-FFF2-40B4-BE49-F238E27FC236}">
              <a16:creationId xmlns:a16="http://schemas.microsoft.com/office/drawing/2014/main" id="{6353DEF9-ACA5-461B-BB70-BC14D96CA1EB}"/>
            </a:ext>
          </a:extLst>
        </xdr:cNvPr>
        <xdr:cNvSpPr/>
      </xdr:nvSpPr>
      <xdr:spPr>
        <a:xfrm>
          <a:off x="1172670" y="2178105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653431</xdr:colOff>
      <xdr:row>12</xdr:row>
      <xdr:rowOff>84965</xdr:rowOff>
    </xdr:from>
    <xdr:to>
      <xdr:col>1</xdr:col>
      <xdr:colOff>707378</xdr:colOff>
      <xdr:row>12</xdr:row>
      <xdr:rowOff>132169</xdr:rowOff>
    </xdr:to>
    <xdr:sp macro="" textlink="">
      <xdr:nvSpPr>
        <xdr:cNvPr id="38" name="Fluxograma: Conector 37">
          <a:extLst>
            <a:ext uri="{FF2B5EF4-FFF2-40B4-BE49-F238E27FC236}">
              <a16:creationId xmlns:a16="http://schemas.microsoft.com/office/drawing/2014/main" id="{42E4CFAE-58E1-455F-AB61-25B0EDB5FEE2}"/>
            </a:ext>
          </a:extLst>
        </xdr:cNvPr>
        <xdr:cNvSpPr/>
      </xdr:nvSpPr>
      <xdr:spPr>
        <a:xfrm>
          <a:off x="1172670" y="2384452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653431</xdr:colOff>
      <xdr:row>13</xdr:row>
      <xdr:rowOff>95755</xdr:rowOff>
    </xdr:from>
    <xdr:to>
      <xdr:col>1</xdr:col>
      <xdr:colOff>707378</xdr:colOff>
      <xdr:row>13</xdr:row>
      <xdr:rowOff>142959</xdr:rowOff>
    </xdr:to>
    <xdr:sp macro="" textlink="">
      <xdr:nvSpPr>
        <xdr:cNvPr id="39" name="Fluxograma: Conector 38">
          <a:extLst>
            <a:ext uri="{FF2B5EF4-FFF2-40B4-BE49-F238E27FC236}">
              <a16:creationId xmlns:a16="http://schemas.microsoft.com/office/drawing/2014/main" id="{1AF1EF25-37E6-4589-ACE1-B3EBAFC78797}"/>
            </a:ext>
          </a:extLst>
        </xdr:cNvPr>
        <xdr:cNvSpPr/>
      </xdr:nvSpPr>
      <xdr:spPr>
        <a:xfrm>
          <a:off x="1172670" y="2590799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645481</xdr:colOff>
      <xdr:row>16</xdr:row>
      <xdr:rowOff>75409</xdr:rowOff>
    </xdr:from>
    <xdr:to>
      <xdr:col>1</xdr:col>
      <xdr:colOff>699428</xdr:colOff>
      <xdr:row>16</xdr:row>
      <xdr:rowOff>122613</xdr:rowOff>
    </xdr:to>
    <xdr:sp macro="" textlink="">
      <xdr:nvSpPr>
        <xdr:cNvPr id="50" name="Fluxograma: Conector 49">
          <a:extLst>
            <a:ext uri="{FF2B5EF4-FFF2-40B4-BE49-F238E27FC236}">
              <a16:creationId xmlns:a16="http://schemas.microsoft.com/office/drawing/2014/main" id="{CE2D452C-58E9-4966-B603-4DACB7F19506}"/>
            </a:ext>
          </a:extLst>
        </xdr:cNvPr>
        <xdr:cNvSpPr/>
      </xdr:nvSpPr>
      <xdr:spPr>
        <a:xfrm>
          <a:off x="1166849" y="3237041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645481</xdr:colOff>
      <xdr:row>17</xdr:row>
      <xdr:rowOff>79956</xdr:rowOff>
    </xdr:from>
    <xdr:to>
      <xdr:col>1</xdr:col>
      <xdr:colOff>699428</xdr:colOff>
      <xdr:row>17</xdr:row>
      <xdr:rowOff>127160</xdr:rowOff>
    </xdr:to>
    <xdr:sp macro="" textlink="">
      <xdr:nvSpPr>
        <xdr:cNvPr id="51" name="Fluxograma: Conector 50">
          <a:extLst>
            <a:ext uri="{FF2B5EF4-FFF2-40B4-BE49-F238E27FC236}">
              <a16:creationId xmlns:a16="http://schemas.microsoft.com/office/drawing/2014/main" id="{E82E5B68-D8D2-4375-96A1-CCD0A6F86ABB}"/>
            </a:ext>
          </a:extLst>
        </xdr:cNvPr>
        <xdr:cNvSpPr/>
      </xdr:nvSpPr>
      <xdr:spPr>
        <a:xfrm>
          <a:off x="1166849" y="3448798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645481</xdr:colOff>
      <xdr:row>18</xdr:row>
      <xdr:rowOff>84502</xdr:rowOff>
    </xdr:from>
    <xdr:to>
      <xdr:col>1</xdr:col>
      <xdr:colOff>699428</xdr:colOff>
      <xdr:row>18</xdr:row>
      <xdr:rowOff>131706</xdr:rowOff>
    </xdr:to>
    <xdr:sp macro="" textlink="">
      <xdr:nvSpPr>
        <xdr:cNvPr id="52" name="Fluxograma: Conector 51">
          <a:extLst>
            <a:ext uri="{FF2B5EF4-FFF2-40B4-BE49-F238E27FC236}">
              <a16:creationId xmlns:a16="http://schemas.microsoft.com/office/drawing/2014/main" id="{B15D825A-0B2F-46D0-A7F5-2C7769604EF7}"/>
            </a:ext>
          </a:extLst>
        </xdr:cNvPr>
        <xdr:cNvSpPr/>
      </xdr:nvSpPr>
      <xdr:spPr>
        <a:xfrm>
          <a:off x="1166849" y="3660555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645481</xdr:colOff>
      <xdr:row>19</xdr:row>
      <xdr:rowOff>89048</xdr:rowOff>
    </xdr:from>
    <xdr:to>
      <xdr:col>1</xdr:col>
      <xdr:colOff>699428</xdr:colOff>
      <xdr:row>19</xdr:row>
      <xdr:rowOff>136252</xdr:rowOff>
    </xdr:to>
    <xdr:sp macro="" textlink="">
      <xdr:nvSpPr>
        <xdr:cNvPr id="53" name="Fluxograma: Conector 52">
          <a:extLst>
            <a:ext uri="{FF2B5EF4-FFF2-40B4-BE49-F238E27FC236}">
              <a16:creationId xmlns:a16="http://schemas.microsoft.com/office/drawing/2014/main" id="{8C7AA7CE-6B80-43FD-B3CC-97EEE5767501}"/>
            </a:ext>
          </a:extLst>
        </xdr:cNvPr>
        <xdr:cNvSpPr/>
      </xdr:nvSpPr>
      <xdr:spPr>
        <a:xfrm>
          <a:off x="1166849" y="3872311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645481</xdr:colOff>
      <xdr:row>20</xdr:row>
      <xdr:rowOff>93596</xdr:rowOff>
    </xdr:from>
    <xdr:to>
      <xdr:col>1</xdr:col>
      <xdr:colOff>699428</xdr:colOff>
      <xdr:row>20</xdr:row>
      <xdr:rowOff>140800</xdr:rowOff>
    </xdr:to>
    <xdr:sp macro="" textlink="">
      <xdr:nvSpPr>
        <xdr:cNvPr id="54" name="Fluxograma: Conector 53">
          <a:extLst>
            <a:ext uri="{FF2B5EF4-FFF2-40B4-BE49-F238E27FC236}">
              <a16:creationId xmlns:a16="http://schemas.microsoft.com/office/drawing/2014/main" id="{5A2F64D1-5DE6-4E75-B7B0-4FB078C3894C}"/>
            </a:ext>
          </a:extLst>
        </xdr:cNvPr>
        <xdr:cNvSpPr/>
      </xdr:nvSpPr>
      <xdr:spPr>
        <a:xfrm>
          <a:off x="1166849" y="4084070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621437</xdr:colOff>
      <xdr:row>23</xdr:row>
      <xdr:rowOff>90204</xdr:rowOff>
    </xdr:from>
    <xdr:to>
      <xdr:col>1</xdr:col>
      <xdr:colOff>675384</xdr:colOff>
      <xdr:row>23</xdr:row>
      <xdr:rowOff>137408</xdr:rowOff>
    </xdr:to>
    <xdr:sp macro="" textlink="">
      <xdr:nvSpPr>
        <xdr:cNvPr id="56" name="Fluxograma: Conector 55">
          <a:extLst>
            <a:ext uri="{FF2B5EF4-FFF2-40B4-BE49-F238E27FC236}">
              <a16:creationId xmlns:a16="http://schemas.microsoft.com/office/drawing/2014/main" id="{7989A129-1C02-4C00-A7BC-C039B3AF24F1}"/>
            </a:ext>
          </a:extLst>
        </xdr:cNvPr>
        <xdr:cNvSpPr/>
      </xdr:nvSpPr>
      <xdr:spPr>
        <a:xfrm>
          <a:off x="1142805" y="4742415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621437</xdr:colOff>
      <xdr:row>24</xdr:row>
      <xdr:rowOff>91976</xdr:rowOff>
    </xdr:from>
    <xdr:to>
      <xdr:col>1</xdr:col>
      <xdr:colOff>675384</xdr:colOff>
      <xdr:row>24</xdr:row>
      <xdr:rowOff>139180</xdr:rowOff>
    </xdr:to>
    <xdr:sp macro="" textlink="">
      <xdr:nvSpPr>
        <xdr:cNvPr id="57" name="Fluxograma: Conector 56">
          <a:extLst>
            <a:ext uri="{FF2B5EF4-FFF2-40B4-BE49-F238E27FC236}">
              <a16:creationId xmlns:a16="http://schemas.microsoft.com/office/drawing/2014/main" id="{0129E33A-3E89-4DC4-A1D1-70EADF07FA37}"/>
            </a:ext>
          </a:extLst>
        </xdr:cNvPr>
        <xdr:cNvSpPr/>
      </xdr:nvSpPr>
      <xdr:spPr>
        <a:xfrm>
          <a:off x="1142805" y="4951397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621437</xdr:colOff>
      <xdr:row>25</xdr:row>
      <xdr:rowOff>93748</xdr:rowOff>
    </xdr:from>
    <xdr:to>
      <xdr:col>1</xdr:col>
      <xdr:colOff>675384</xdr:colOff>
      <xdr:row>25</xdr:row>
      <xdr:rowOff>140952</xdr:rowOff>
    </xdr:to>
    <xdr:sp macro="" textlink="">
      <xdr:nvSpPr>
        <xdr:cNvPr id="58" name="Fluxograma: Conector 57">
          <a:extLst>
            <a:ext uri="{FF2B5EF4-FFF2-40B4-BE49-F238E27FC236}">
              <a16:creationId xmlns:a16="http://schemas.microsoft.com/office/drawing/2014/main" id="{778320F2-31DC-4ABF-8551-94A9C0184C15}"/>
            </a:ext>
          </a:extLst>
        </xdr:cNvPr>
        <xdr:cNvSpPr/>
      </xdr:nvSpPr>
      <xdr:spPr>
        <a:xfrm>
          <a:off x="1142805" y="5160380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621437</xdr:colOff>
      <xdr:row>26</xdr:row>
      <xdr:rowOff>95521</xdr:rowOff>
    </xdr:from>
    <xdr:to>
      <xdr:col>1</xdr:col>
      <xdr:colOff>675384</xdr:colOff>
      <xdr:row>26</xdr:row>
      <xdr:rowOff>142725</xdr:rowOff>
    </xdr:to>
    <xdr:sp macro="" textlink="">
      <xdr:nvSpPr>
        <xdr:cNvPr id="59" name="Fluxograma: Conector 58">
          <a:extLst>
            <a:ext uri="{FF2B5EF4-FFF2-40B4-BE49-F238E27FC236}">
              <a16:creationId xmlns:a16="http://schemas.microsoft.com/office/drawing/2014/main" id="{EB5F5752-6BE5-4021-869F-011B9D19D674}"/>
            </a:ext>
          </a:extLst>
        </xdr:cNvPr>
        <xdr:cNvSpPr/>
      </xdr:nvSpPr>
      <xdr:spPr>
        <a:xfrm>
          <a:off x="1142805" y="5369363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621437</xdr:colOff>
      <xdr:row>27</xdr:row>
      <xdr:rowOff>97294</xdr:rowOff>
    </xdr:from>
    <xdr:to>
      <xdr:col>1</xdr:col>
      <xdr:colOff>675384</xdr:colOff>
      <xdr:row>27</xdr:row>
      <xdr:rowOff>144498</xdr:rowOff>
    </xdr:to>
    <xdr:sp macro="" textlink="">
      <xdr:nvSpPr>
        <xdr:cNvPr id="60" name="Fluxograma: Conector 59">
          <a:extLst>
            <a:ext uri="{FF2B5EF4-FFF2-40B4-BE49-F238E27FC236}">
              <a16:creationId xmlns:a16="http://schemas.microsoft.com/office/drawing/2014/main" id="{74577A10-CDF0-4EAA-AA1C-7CD2EFFFB7B5}"/>
            </a:ext>
          </a:extLst>
        </xdr:cNvPr>
        <xdr:cNvSpPr/>
      </xdr:nvSpPr>
      <xdr:spPr>
        <a:xfrm>
          <a:off x="1142805" y="5578347"/>
          <a:ext cx="53947" cy="47204"/>
        </a:xfrm>
        <a:prstGeom prst="flowChartConnector">
          <a:avLst/>
        </a:prstGeom>
        <a:solidFill>
          <a:srgbClr val="F59E0B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8758</xdr:colOff>
      <xdr:row>15</xdr:row>
      <xdr:rowOff>3663</xdr:rowOff>
    </xdr:from>
    <xdr:to>
      <xdr:col>3</xdr:col>
      <xdr:colOff>1190037</xdr:colOff>
      <xdr:row>15</xdr:row>
      <xdr:rowOff>252046</xdr:rowOff>
    </xdr:to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2E00DA63-EE16-4F7E-8D14-D6CD2FEEFDB3}"/>
            </a:ext>
          </a:extLst>
        </xdr:cNvPr>
        <xdr:cNvSpPr txBox="1"/>
      </xdr:nvSpPr>
      <xdr:spPr>
        <a:xfrm>
          <a:off x="524573" y="2910986"/>
          <a:ext cx="6919726" cy="248383"/>
        </a:xfrm>
        <a:prstGeom prst="rect">
          <a:avLst/>
        </a:prstGeom>
        <a:gradFill flip="none" rotWithShape="1">
          <a:gsLst>
            <a:gs pos="0">
              <a:schemeClr val="bg2">
                <a:lumMod val="10000"/>
              </a:schemeClr>
            </a:gs>
            <a:gs pos="23000">
              <a:schemeClr val="bg2">
                <a:lumMod val="10000"/>
              </a:schemeClr>
            </a:gs>
            <a:gs pos="69000">
              <a:schemeClr val="bg2">
                <a:lumMod val="25000"/>
              </a:schemeClr>
            </a:gs>
            <a:gs pos="97000">
              <a:schemeClr val="accent4">
                <a:lumMod val="50000"/>
              </a:schemeClr>
            </a:gs>
          </a:gsLst>
          <a:lin ang="16200000" scaled="1"/>
          <a:tileRect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gradFill flip="none" rotWithShape="1">
                <a:gsLst>
                  <a:gs pos="0">
                    <a:schemeClr val="accent2">
                      <a:lumMod val="5000"/>
                      <a:lumOff val="95000"/>
                    </a:schemeClr>
                  </a:gs>
                  <a:gs pos="74000">
                    <a:schemeClr val="accent2">
                      <a:lumMod val="45000"/>
                      <a:lumOff val="55000"/>
                    </a:schemeClr>
                  </a:gs>
                  <a:gs pos="83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Arial Rounded MT Bold" panose="020F0704030504030204" pitchFamily="34" charset="0"/>
              <a:ea typeface="+mn-ea"/>
              <a:cs typeface="+mn-cs"/>
            </a:rPr>
            <a:t>INVESTIMENTO MENSAL</a:t>
          </a:r>
        </a:p>
      </xdr:txBody>
    </xdr:sp>
    <xdr:clientData/>
  </xdr:twoCellAnchor>
  <xdr:twoCellAnchor>
    <xdr:from>
      <xdr:col>1</xdr:col>
      <xdr:colOff>7226</xdr:colOff>
      <xdr:row>22</xdr:row>
      <xdr:rowOff>6684</xdr:rowOff>
    </xdr:from>
    <xdr:to>
      <xdr:col>3</xdr:col>
      <xdr:colOff>1185333</xdr:colOff>
      <xdr:row>22</xdr:row>
      <xdr:rowOff>232644</xdr:rowOff>
    </xdr:to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6032C3DC-7D6A-494F-9589-584AB225B0D2}"/>
            </a:ext>
          </a:extLst>
        </xdr:cNvPr>
        <xdr:cNvSpPr txBox="1"/>
      </xdr:nvSpPr>
      <xdr:spPr>
        <a:xfrm>
          <a:off x="524633" y="4404647"/>
          <a:ext cx="6916626" cy="225960"/>
        </a:xfrm>
        <a:prstGeom prst="rect">
          <a:avLst/>
        </a:prstGeom>
        <a:gradFill flip="none" rotWithShape="1">
          <a:gsLst>
            <a:gs pos="0">
              <a:schemeClr val="bg2">
                <a:lumMod val="10000"/>
              </a:schemeClr>
            </a:gs>
            <a:gs pos="23000">
              <a:schemeClr val="bg2">
                <a:lumMod val="10000"/>
              </a:schemeClr>
            </a:gs>
            <a:gs pos="69000">
              <a:schemeClr val="bg2">
                <a:lumMod val="25000"/>
              </a:schemeClr>
            </a:gs>
            <a:gs pos="97000">
              <a:schemeClr val="accent4">
                <a:lumMod val="50000"/>
              </a:schemeClr>
            </a:gs>
          </a:gsLst>
          <a:lin ang="16200000" scaled="1"/>
          <a:tileRect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gradFill flip="none" rotWithShape="1">
                <a:gsLst>
                  <a:gs pos="0">
                    <a:schemeClr val="accent2">
                      <a:lumMod val="5000"/>
                      <a:lumOff val="95000"/>
                    </a:schemeClr>
                  </a:gs>
                  <a:gs pos="74000">
                    <a:schemeClr val="accent2">
                      <a:lumMod val="45000"/>
                      <a:lumOff val="55000"/>
                    </a:schemeClr>
                  </a:gs>
                  <a:gs pos="83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Arial Rounded MT Bold" panose="020F0704030504030204" pitchFamily="34" charset="0"/>
              <a:ea typeface="+mn-ea"/>
              <a:cs typeface="+mn-cs"/>
            </a:rPr>
            <a:t>CENÁRIOS</a:t>
          </a:r>
        </a:p>
      </xdr:txBody>
    </xdr:sp>
    <xdr:clientData/>
  </xdr:twoCellAnchor>
  <xdr:twoCellAnchor>
    <xdr:from>
      <xdr:col>0</xdr:col>
      <xdr:colOff>504019</xdr:colOff>
      <xdr:row>30</xdr:row>
      <xdr:rowOff>0</xdr:rowOff>
    </xdr:from>
    <xdr:to>
      <xdr:col>2</xdr:col>
      <xdr:colOff>1</xdr:colOff>
      <xdr:row>30</xdr:row>
      <xdr:rowOff>275492</xdr:rowOff>
    </xdr:to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CFFAE767-7EE8-4444-9734-50A1E06D8B14}"/>
            </a:ext>
          </a:extLst>
        </xdr:cNvPr>
        <xdr:cNvSpPr txBox="1"/>
      </xdr:nvSpPr>
      <xdr:spPr>
        <a:xfrm>
          <a:off x="504019" y="6043246"/>
          <a:ext cx="3563890" cy="275492"/>
        </a:xfrm>
        <a:prstGeom prst="rect">
          <a:avLst/>
        </a:prstGeom>
        <a:gradFill flip="none" rotWithShape="1">
          <a:gsLst>
            <a:gs pos="0">
              <a:schemeClr val="bg2">
                <a:lumMod val="10000"/>
              </a:schemeClr>
            </a:gs>
            <a:gs pos="23000">
              <a:schemeClr val="bg2">
                <a:lumMod val="10000"/>
              </a:schemeClr>
            </a:gs>
            <a:gs pos="69000">
              <a:schemeClr val="bg2">
                <a:lumMod val="25000"/>
              </a:schemeClr>
            </a:gs>
            <a:gs pos="97000">
              <a:schemeClr val="accent4">
                <a:lumMod val="50000"/>
              </a:schemeClr>
            </a:gs>
          </a:gsLst>
          <a:lin ang="16200000" scaled="1"/>
          <a:tileRect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pt-BR" sz="1100">
              <a:gradFill flip="none" rotWithShape="1">
                <a:gsLst>
                  <a:gs pos="0">
                    <a:schemeClr val="accent2">
                      <a:lumMod val="5000"/>
                      <a:lumOff val="95000"/>
                    </a:schemeClr>
                  </a:gs>
                  <a:gs pos="74000">
                    <a:schemeClr val="accent2">
                      <a:lumMod val="45000"/>
                      <a:lumOff val="55000"/>
                    </a:schemeClr>
                  </a:gs>
                  <a:gs pos="83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Arial Rounded MT Bold" panose="020F0704030504030204" pitchFamily="34" charset="0"/>
              <a:ea typeface="+mn-ea"/>
              <a:cs typeface="+mn-cs"/>
            </a:rPr>
            <a:t>PERFIL E DISTRIBUIÇÃO DE FII</a:t>
          </a:r>
        </a:p>
      </xdr:txBody>
    </xdr:sp>
    <xdr:clientData/>
  </xdr:twoCellAnchor>
  <xdr:twoCellAnchor>
    <xdr:from>
      <xdr:col>3</xdr:col>
      <xdr:colOff>8570</xdr:colOff>
      <xdr:row>29</xdr:row>
      <xdr:rowOff>212076</xdr:rowOff>
    </xdr:from>
    <xdr:to>
      <xdr:col>3</xdr:col>
      <xdr:colOff>9643</xdr:colOff>
      <xdr:row>31</xdr:row>
      <xdr:rowOff>4005</xdr:rowOff>
    </xdr:to>
    <xdr:cxnSp macro="">
      <xdr:nvCxnSpPr>
        <xdr:cNvPr id="71" name="Conector reto 70">
          <a:extLst>
            <a:ext uri="{FF2B5EF4-FFF2-40B4-BE49-F238E27FC236}">
              <a16:creationId xmlns:a16="http://schemas.microsoft.com/office/drawing/2014/main" id="{9A28EB9F-8C06-4538-A6F9-D71FD7864A15}"/>
            </a:ext>
          </a:extLst>
        </xdr:cNvPr>
        <xdr:cNvCxnSpPr/>
      </xdr:nvCxnSpPr>
      <xdr:spPr>
        <a:xfrm>
          <a:off x="6262832" y="6032584"/>
          <a:ext cx="1073" cy="290159"/>
        </a:xfrm>
        <a:prstGeom prst="line">
          <a:avLst/>
        </a:prstGeom>
        <a:ln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502596</xdr:colOff>
      <xdr:row>29</xdr:row>
      <xdr:rowOff>219757</xdr:rowOff>
    </xdr:from>
    <xdr:to>
      <xdr:col>4</xdr:col>
      <xdr:colOff>0</xdr:colOff>
      <xdr:row>31</xdr:row>
      <xdr:rowOff>5863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C5DC15B4-903F-4FB4-9DD7-F68E20A668F9}"/>
            </a:ext>
          </a:extLst>
        </xdr:cNvPr>
        <xdr:cNvSpPr/>
      </xdr:nvSpPr>
      <xdr:spPr>
        <a:xfrm>
          <a:off x="502596" y="6040265"/>
          <a:ext cx="6947419" cy="284336"/>
        </a:xfrm>
        <a:prstGeom prst="rect">
          <a:avLst/>
        </a:prstGeom>
        <a:noFill/>
        <a:ln>
          <a:solidFill>
            <a:srgbClr val="F59E0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noFill/>
          </a:endParaRPr>
        </a:p>
      </xdr:txBody>
    </xdr:sp>
    <xdr:clientData/>
  </xdr:twoCellAnchor>
  <xdr:twoCellAnchor editAs="oneCell">
    <xdr:from>
      <xdr:col>1</xdr:col>
      <xdr:colOff>1993210</xdr:colOff>
      <xdr:row>25</xdr:row>
      <xdr:rowOff>24847</xdr:rowOff>
    </xdr:from>
    <xdr:to>
      <xdr:col>1</xdr:col>
      <xdr:colOff>2108955</xdr:colOff>
      <xdr:row>25</xdr:row>
      <xdr:rowOff>182217</xdr:rowOff>
    </xdr:to>
    <xdr:pic>
      <xdr:nvPicPr>
        <xdr:cNvPr id="3" name="Gráfico 2" descr="Setas de Divisão com preenchimento sólido">
          <a:extLst>
            <a:ext uri="{FF2B5EF4-FFF2-40B4-BE49-F238E27FC236}">
              <a16:creationId xmlns:a16="http://schemas.microsoft.com/office/drawing/2014/main" id="{5BE0CACB-DED4-4630-8681-1EB77FFCA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514169" y="5055602"/>
          <a:ext cx="115745" cy="1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1993210</xdr:colOff>
      <xdr:row>26</xdr:row>
      <xdr:rowOff>26504</xdr:rowOff>
    </xdr:from>
    <xdr:to>
      <xdr:col>1</xdr:col>
      <xdr:colOff>2108955</xdr:colOff>
      <xdr:row>26</xdr:row>
      <xdr:rowOff>183874</xdr:rowOff>
    </xdr:to>
    <xdr:pic>
      <xdr:nvPicPr>
        <xdr:cNvPr id="40" name="Gráfico 39" descr="Setas de Divisão com preenchimento sólido">
          <a:extLst>
            <a:ext uri="{FF2B5EF4-FFF2-40B4-BE49-F238E27FC236}">
              <a16:creationId xmlns:a16="http://schemas.microsoft.com/office/drawing/2014/main" id="{79707CA6-8BA0-4DAC-8C20-BDBE928DE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514169" y="5259422"/>
          <a:ext cx="115745" cy="1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1993210</xdr:colOff>
      <xdr:row>27</xdr:row>
      <xdr:rowOff>28162</xdr:rowOff>
    </xdr:from>
    <xdr:to>
      <xdr:col>1</xdr:col>
      <xdr:colOff>2108955</xdr:colOff>
      <xdr:row>27</xdr:row>
      <xdr:rowOff>185532</xdr:rowOff>
    </xdr:to>
    <xdr:pic>
      <xdr:nvPicPr>
        <xdr:cNvPr id="41" name="Gráfico 40" descr="Setas de Divisão com preenchimento sólido">
          <a:extLst>
            <a:ext uri="{FF2B5EF4-FFF2-40B4-BE49-F238E27FC236}">
              <a16:creationId xmlns:a16="http://schemas.microsoft.com/office/drawing/2014/main" id="{BB5F738C-604D-4B59-B64F-E6CD67F34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514169" y="5463244"/>
          <a:ext cx="115745" cy="157370"/>
        </a:xfrm>
        <a:prstGeom prst="rect">
          <a:avLst/>
        </a:prstGeom>
      </xdr:spPr>
    </xdr:pic>
    <xdr:clientData/>
  </xdr:twoCellAnchor>
  <xdr:twoCellAnchor>
    <xdr:from>
      <xdr:col>1</xdr:col>
      <xdr:colOff>2368885</xdr:colOff>
      <xdr:row>33</xdr:row>
      <xdr:rowOff>7620</xdr:rowOff>
    </xdr:from>
    <xdr:to>
      <xdr:col>2</xdr:col>
      <xdr:colOff>669</xdr:colOff>
      <xdr:row>40</xdr:row>
      <xdr:rowOff>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73FE7F07-B0D2-4D80-BFF2-082FAF5E9D6C}"/>
            </a:ext>
          </a:extLst>
        </xdr:cNvPr>
        <xdr:cNvSpPr/>
      </xdr:nvSpPr>
      <xdr:spPr>
        <a:xfrm>
          <a:off x="2887045" y="6697980"/>
          <a:ext cx="1182704" cy="1714500"/>
        </a:xfrm>
        <a:prstGeom prst="rect">
          <a:avLst/>
        </a:prstGeom>
        <a:noFill/>
        <a:ln w="12700" cap="flat" cmpd="sng" algn="ctr">
          <a:solidFill>
            <a:srgbClr val="F59E0B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pt-BR" sz="1100">
            <a:noFill/>
          </a:endParaRPr>
        </a:p>
      </xdr:txBody>
    </xdr:sp>
    <xdr:clientData/>
  </xdr:twoCellAnchor>
  <xdr:twoCellAnchor>
    <xdr:from>
      <xdr:col>1</xdr:col>
      <xdr:colOff>2369820</xdr:colOff>
      <xdr:row>33</xdr:row>
      <xdr:rowOff>3835</xdr:rowOff>
    </xdr:from>
    <xdr:to>
      <xdr:col>4</xdr:col>
      <xdr:colOff>0</xdr:colOff>
      <xdr:row>33</xdr:row>
      <xdr:rowOff>175846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CF0730BB-5D5D-4433-8329-D8D83E287579}"/>
            </a:ext>
          </a:extLst>
        </xdr:cNvPr>
        <xdr:cNvSpPr/>
      </xdr:nvSpPr>
      <xdr:spPr>
        <a:xfrm>
          <a:off x="2885635" y="6685989"/>
          <a:ext cx="4564380" cy="172011"/>
        </a:xfrm>
        <a:prstGeom prst="rect">
          <a:avLst/>
        </a:prstGeom>
        <a:noFill/>
        <a:ln w="12700" cap="flat" cmpd="sng" algn="ctr">
          <a:solidFill>
            <a:srgbClr val="F59E0B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pt-BR" sz="1100">
            <a:noFill/>
          </a:endParaRPr>
        </a:p>
      </xdr:txBody>
    </xdr:sp>
    <xdr:clientData/>
  </xdr:twoCellAnchor>
  <xdr:twoCellAnchor>
    <xdr:from>
      <xdr:col>1</xdr:col>
      <xdr:colOff>2379345</xdr:colOff>
      <xdr:row>33</xdr:row>
      <xdr:rowOff>9377</xdr:rowOff>
    </xdr:from>
    <xdr:to>
      <xdr:col>1</xdr:col>
      <xdr:colOff>3543301</xdr:colOff>
      <xdr:row>33</xdr:row>
      <xdr:rowOff>161778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C863B6C6-D2F4-4CD9-B99E-01E82CE22748}"/>
            </a:ext>
          </a:extLst>
        </xdr:cNvPr>
        <xdr:cNvSpPr txBox="1"/>
      </xdr:nvSpPr>
      <xdr:spPr>
        <a:xfrm>
          <a:off x="2895160" y="6691531"/>
          <a:ext cx="1163956" cy="152401"/>
        </a:xfrm>
        <a:prstGeom prst="rect">
          <a:avLst/>
        </a:prstGeom>
        <a:gradFill flip="none" rotWithShape="1">
          <a:gsLst>
            <a:gs pos="0">
              <a:schemeClr val="bg2">
                <a:lumMod val="10000"/>
              </a:schemeClr>
            </a:gs>
            <a:gs pos="23000">
              <a:schemeClr val="bg2">
                <a:lumMod val="10000"/>
              </a:schemeClr>
            </a:gs>
            <a:gs pos="69000">
              <a:schemeClr val="bg2">
                <a:lumMod val="25000"/>
              </a:schemeClr>
            </a:gs>
            <a:gs pos="97000">
              <a:schemeClr val="accent4">
                <a:lumMod val="50000"/>
              </a:schemeClr>
            </a:gs>
          </a:gsLst>
          <a:lin ang="16200000" scaled="1"/>
          <a:tileRect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pt-BR" sz="1100">
              <a:gradFill flip="none" rotWithShape="1">
                <a:gsLst>
                  <a:gs pos="0">
                    <a:schemeClr val="accent2">
                      <a:lumMod val="5000"/>
                      <a:lumOff val="95000"/>
                    </a:schemeClr>
                  </a:gs>
                  <a:gs pos="74000">
                    <a:schemeClr val="accent2">
                      <a:lumMod val="45000"/>
                      <a:lumOff val="55000"/>
                    </a:schemeClr>
                  </a:gs>
                  <a:gs pos="83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Arial Rounded MT Bold" panose="020F0704030504030204" pitchFamily="34" charset="0"/>
              <a:ea typeface="+mn-ea"/>
              <a:cs typeface="+mn-cs"/>
            </a:rPr>
            <a:t>   TIPO DE FII</a:t>
          </a:r>
        </a:p>
      </xdr:txBody>
    </xdr:sp>
    <xdr:clientData/>
  </xdr:twoCellAnchor>
  <xdr:twoCellAnchor>
    <xdr:from>
      <xdr:col>2</xdr:col>
      <xdr:colOff>2709</xdr:colOff>
      <xdr:row>30</xdr:row>
      <xdr:rowOff>1061</xdr:rowOff>
    </xdr:from>
    <xdr:to>
      <xdr:col>2</xdr:col>
      <xdr:colOff>3782</xdr:colOff>
      <xdr:row>31</xdr:row>
      <xdr:rowOff>15728</xdr:rowOff>
    </xdr:to>
    <xdr:cxnSp macro="">
      <xdr:nvCxnSpPr>
        <xdr:cNvPr id="67" name="Conector reto 66">
          <a:extLst>
            <a:ext uri="{FF2B5EF4-FFF2-40B4-BE49-F238E27FC236}">
              <a16:creationId xmlns:a16="http://schemas.microsoft.com/office/drawing/2014/main" id="{6F66888F-84AD-498C-A6EB-38697027EEF7}"/>
            </a:ext>
          </a:extLst>
        </xdr:cNvPr>
        <xdr:cNvCxnSpPr/>
      </xdr:nvCxnSpPr>
      <xdr:spPr>
        <a:xfrm>
          <a:off x="4070617" y="6044307"/>
          <a:ext cx="1073" cy="290159"/>
        </a:xfrm>
        <a:prstGeom prst="line">
          <a:avLst/>
        </a:prstGeom>
        <a:ln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2372789</xdr:colOff>
      <xdr:row>40</xdr:row>
      <xdr:rowOff>0</xdr:rowOff>
    </xdr:from>
    <xdr:to>
      <xdr:col>4</xdr:col>
      <xdr:colOff>0</xdr:colOff>
      <xdr:row>41</xdr:row>
      <xdr:rowOff>0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383427FF-5DD8-43AA-B496-D418CDE7609B}"/>
            </a:ext>
          </a:extLst>
        </xdr:cNvPr>
        <xdr:cNvSpPr/>
      </xdr:nvSpPr>
      <xdr:spPr>
        <a:xfrm>
          <a:off x="2890949" y="8412480"/>
          <a:ext cx="4561411" cy="182880"/>
        </a:xfrm>
        <a:prstGeom prst="rect">
          <a:avLst/>
        </a:prstGeom>
        <a:noFill/>
        <a:ln w="12700" cap="flat" cmpd="sng" algn="ctr">
          <a:solidFill>
            <a:srgbClr val="F59E0B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endParaRPr lang="pt-BR" sz="1100">
            <a:noFill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CEF4-A79B-4CDF-847D-FA0472B8AE03}">
  <dimension ref="A10:XFD83"/>
  <sheetViews>
    <sheetView showGridLines="0" showRowColHeaders="0" tabSelected="1" topLeftCell="A2" zoomScaleNormal="100" workbookViewId="0">
      <selection activeCell="C31" sqref="C31"/>
    </sheetView>
  </sheetViews>
  <sheetFormatPr defaultColWidth="0" defaultRowHeight="14.4" x14ac:dyDescent="0.3"/>
  <cols>
    <col min="1" max="1" width="7.5546875" style="10" customWidth="1"/>
    <col min="2" max="2" width="51.77734375" style="10" customWidth="1"/>
    <col min="3" max="3" width="31.88671875" style="10" customWidth="1"/>
    <col min="4" max="4" width="17.44140625" style="10" customWidth="1"/>
    <col min="5" max="5" width="22.109375" style="10" hidden="1" customWidth="1"/>
    <col min="6" max="6" width="16.88671875" style="10" hidden="1" customWidth="1"/>
    <col min="7" max="7" width="12.33203125" style="10" hidden="1" customWidth="1"/>
    <col min="8" max="11" width="8.88671875" style="10" hidden="1" customWidth="1"/>
    <col min="12" max="16382" width="8.88671875" style="10" hidden="1"/>
    <col min="16383" max="16383" width="7.109375" style="10" customWidth="1"/>
    <col min="16384" max="16384" width="2.88671875" style="10" customWidth="1"/>
  </cols>
  <sheetData>
    <row r="10" spans="2:4" ht="15" thickBot="1" x14ac:dyDescent="0.35"/>
    <row r="11" spans="2:4" ht="21.6" customHeight="1" x14ac:dyDescent="0.3">
      <c r="B11" s="24"/>
      <c r="C11" s="25"/>
      <c r="D11" s="11"/>
    </row>
    <row r="12" spans="2:4" ht="16.2" thickBot="1" x14ac:dyDescent="0.35">
      <c r="B12" s="43" t="s">
        <v>16</v>
      </c>
      <c r="C12" s="44"/>
      <c r="D12" s="55">
        <v>2000</v>
      </c>
    </row>
    <row r="13" spans="2:4" ht="16.2" thickBot="1" x14ac:dyDescent="0.35">
      <c r="B13" s="45" t="s">
        <v>17</v>
      </c>
      <c r="C13" s="46"/>
      <c r="D13" s="56">
        <v>6.0000000000000001E-3</v>
      </c>
    </row>
    <row r="14" spans="2:4" ht="15.6" x14ac:dyDescent="0.3">
      <c r="B14" s="47" t="s">
        <v>18</v>
      </c>
      <c r="C14" s="48"/>
      <c r="D14" s="49">
        <f>D12*30%</f>
        <v>600</v>
      </c>
    </row>
    <row r="15" spans="2:4" ht="15" thickBot="1" x14ac:dyDescent="0.35"/>
    <row r="16" spans="2:4" ht="20.399999999999999" customHeight="1" x14ac:dyDescent="0.3">
      <c r="B16" s="24"/>
      <c r="C16" s="25"/>
      <c r="D16" s="12"/>
    </row>
    <row r="17" spans="1:5 16383:16384" ht="16.2" thickBot="1" x14ac:dyDescent="0.35">
      <c r="A17" s="19">
        <v>2</v>
      </c>
      <c r="B17" s="39" t="s">
        <v>19</v>
      </c>
      <c r="C17" s="40"/>
      <c r="D17" s="52">
        <v>495</v>
      </c>
    </row>
    <row r="18" spans="1:5 16383:16384" ht="16.2" thickBot="1" x14ac:dyDescent="0.35">
      <c r="A18" s="19">
        <v>5</v>
      </c>
      <c r="B18" s="41" t="s">
        <v>20</v>
      </c>
      <c r="C18" s="42"/>
      <c r="D18" s="53">
        <v>2</v>
      </c>
    </row>
    <row r="19" spans="1:5 16383:16384" ht="16.2" thickBot="1" x14ac:dyDescent="0.35">
      <c r="A19" s="19">
        <v>10</v>
      </c>
      <c r="B19" s="41" t="s">
        <v>21</v>
      </c>
      <c r="C19" s="42"/>
      <c r="D19" s="54">
        <v>6.0000000000000001E-3</v>
      </c>
    </row>
    <row r="20" spans="1:5 16383:16384" ht="16.2" thickBot="1" x14ac:dyDescent="0.35">
      <c r="A20" s="19">
        <v>20</v>
      </c>
      <c r="B20" s="63" t="s">
        <v>22</v>
      </c>
      <c r="C20" s="64"/>
      <c r="D20" s="35">
        <f>FV(taxa_mensal,qtde_anos*12,aporte*-1)</f>
        <v>12736.951605258417</v>
      </c>
    </row>
    <row r="21" spans="1:5 16383:16384" ht="15.6" x14ac:dyDescent="0.3">
      <c r="A21" s="19">
        <v>30</v>
      </c>
      <c r="B21" s="65" t="s">
        <v>23</v>
      </c>
      <c r="C21" s="66"/>
      <c r="D21" s="38">
        <f>patrimonio*Rendimento_Carteira</f>
        <v>76.421709631550499</v>
      </c>
    </row>
    <row r="22" spans="1:5 16383:16384" ht="15" thickBot="1" x14ac:dyDescent="0.35"/>
    <row r="23" spans="1:5 16383:16384" ht="18.600000000000001" customHeight="1" thickBot="1" x14ac:dyDescent="0.35">
      <c r="B23" s="24"/>
      <c r="C23" s="25"/>
      <c r="D23" s="20"/>
      <c r="E23" s="13"/>
      <c r="XFC23" s="14"/>
      <c r="XFD23" s="10" t="s">
        <v>0</v>
      </c>
    </row>
    <row r="24" spans="1:5 16383:16384" ht="16.2" thickBot="1" x14ac:dyDescent="0.35">
      <c r="B24" s="30" t="s">
        <v>24</v>
      </c>
      <c r="C24" s="31">
        <f>FV(taxa_mensal,$A17*12,aporte*-1)</f>
        <v>12736.951605258417</v>
      </c>
      <c r="D24" s="32">
        <f>C24*Rendimento_Carteira</f>
        <v>76.421709631550499</v>
      </c>
      <c r="E24" s="15"/>
    </row>
    <row r="25" spans="1:5 16383:16384" ht="16.2" thickBot="1" x14ac:dyDescent="0.35">
      <c r="B25" s="33" t="s">
        <v>25</v>
      </c>
      <c r="C25" s="34">
        <f>FV(taxa_mensal,$A18*12,aporte*-1)</f>
        <v>35622.54399174494</v>
      </c>
      <c r="D25" s="35">
        <f>C25*Rendimento_Carteira</f>
        <v>213.73526395046966</v>
      </c>
      <c r="E25" s="15"/>
    </row>
    <row r="26" spans="1:5 16383:16384" ht="16.2" thickBot="1" x14ac:dyDescent="0.35">
      <c r="B26" s="33" t="s">
        <v>26</v>
      </c>
      <c r="C26" s="34">
        <f>FV(taxa_mensal,$A19*12,aporte*-1)</f>
        <v>86626.489685839042</v>
      </c>
      <c r="D26" s="35">
        <f>C26*Rendimento_Carteira</f>
        <v>519.75893811503431</v>
      </c>
      <c r="E26" s="15"/>
    </row>
    <row r="27" spans="1:5 16383:16384" ht="16.2" thickBot="1" x14ac:dyDescent="0.35">
      <c r="B27" s="33" t="s">
        <v>27</v>
      </c>
      <c r="C27" s="34">
        <f>FV(taxa_mensal,$A20*12,aporte*-1)</f>
        <v>264212.35773883888</v>
      </c>
      <c r="D27" s="35">
        <f>C27*Rendimento_Carteira</f>
        <v>1585.2741464330334</v>
      </c>
      <c r="E27" s="15"/>
    </row>
    <row r="28" spans="1:5 16383:16384" ht="16.2" thickBot="1" x14ac:dyDescent="0.35">
      <c r="B28" s="36" t="s">
        <v>28</v>
      </c>
      <c r="C28" s="37">
        <f>FV(taxa_mensal,$A21*12,aporte*-1)</f>
        <v>628266.59387964429</v>
      </c>
      <c r="D28" s="38">
        <f>C28*Rendimento_Carteira</f>
        <v>3769.5995632778659</v>
      </c>
      <c r="E28" s="16"/>
    </row>
    <row r="30" spans="1:5 16383:16384" ht="17.399999999999999" customHeight="1" x14ac:dyDescent="0.3"/>
    <row r="31" spans="1:5 16383:16384" ht="21.6" customHeight="1" x14ac:dyDescent="0.3">
      <c r="B31" s="17"/>
      <c r="C31" s="57" t="s">
        <v>2</v>
      </c>
      <c r="D31" s="58">
        <f>aporte</f>
        <v>495</v>
      </c>
    </row>
    <row r="33" spans="2:4" x14ac:dyDescent="0.3">
      <c r="B33" s="18"/>
      <c r="C33" s="18"/>
      <c r="D33" s="18"/>
    </row>
    <row r="34" spans="2:4" ht="14.4" customHeight="1" x14ac:dyDescent="0.3">
      <c r="B34" s="23" t="s">
        <v>29</v>
      </c>
      <c r="C34" s="59" t="s">
        <v>4</v>
      </c>
      <c r="D34" s="60" t="s">
        <v>5</v>
      </c>
    </row>
    <row r="35" spans="2:4" ht="19.8" customHeight="1" thickBot="1" x14ac:dyDescent="0.35">
      <c r="B35" s="21" t="s">
        <v>6</v>
      </c>
      <c r="C35" s="61">
        <f>VLOOKUP($C$31&amp;"-"&amp;B35,Planilha2!A2:$D$20,4,FALSE)</f>
        <v>0.32</v>
      </c>
      <c r="D35" s="62">
        <f t="shared" ref="D35:D40" si="0">C35*$D$31</f>
        <v>158.4</v>
      </c>
    </row>
    <row r="36" spans="2:4" ht="21" customHeight="1" thickBot="1" x14ac:dyDescent="0.35">
      <c r="B36" s="21" t="s">
        <v>7</v>
      </c>
      <c r="C36" s="28">
        <f>VLOOKUP($C$31&amp;"-"&amp;B36,Planilha2!A3:$D$20,4,FALSE)</f>
        <v>0.35</v>
      </c>
      <c r="D36" s="50">
        <f t="shared" si="0"/>
        <v>173.25</v>
      </c>
    </row>
    <row r="37" spans="2:4" ht="19.2" customHeight="1" thickBot="1" x14ac:dyDescent="0.35">
      <c r="B37" s="21" t="s">
        <v>8</v>
      </c>
      <c r="C37" s="28">
        <f>VLOOKUP($C$31&amp;"-"&amp;B37,Planilha2!A4:$D$20,4,FALSE)</f>
        <v>0.1</v>
      </c>
      <c r="D37" s="50">
        <f t="shared" si="0"/>
        <v>49.5</v>
      </c>
    </row>
    <row r="38" spans="2:4" ht="21.6" customHeight="1" thickBot="1" x14ac:dyDescent="0.35">
      <c r="B38" s="21" t="s">
        <v>9</v>
      </c>
      <c r="C38" s="28">
        <f>VLOOKUP($C$31&amp;"-"&amp;B38,Planilha2!A5:$D$20,4,FALSE)</f>
        <v>0.08</v>
      </c>
      <c r="D38" s="50">
        <f t="shared" si="0"/>
        <v>39.6</v>
      </c>
    </row>
    <row r="39" spans="2:4" ht="21" customHeight="1" thickBot="1" x14ac:dyDescent="0.35">
      <c r="B39" s="21" t="s">
        <v>10</v>
      </c>
      <c r="C39" s="28">
        <f>VLOOKUP($C$31&amp;"-"&amp;B39,Planilha2!A6:$D$20,4,FALSE)</f>
        <v>0.05</v>
      </c>
      <c r="D39" s="50">
        <f t="shared" si="0"/>
        <v>24.75</v>
      </c>
    </row>
    <row r="40" spans="2:4" ht="18.600000000000001" customHeight="1" thickBot="1" x14ac:dyDescent="0.35">
      <c r="B40" s="21" t="s">
        <v>11</v>
      </c>
      <c r="C40" s="29">
        <f>VLOOKUP($C$31&amp;"-"&amp;B40,Planilha2!A7:$D$20,4,FALSE)</f>
        <v>0.1</v>
      </c>
      <c r="D40" s="51">
        <f t="shared" si="0"/>
        <v>49.5</v>
      </c>
    </row>
    <row r="41" spans="2:4" x14ac:dyDescent="0.3">
      <c r="B41" s="22" t="s">
        <v>30</v>
      </c>
      <c r="C41" s="26"/>
      <c r="D41" s="27">
        <f>SUM(D35:D40)</f>
        <v>495</v>
      </c>
    </row>
    <row r="49" s="10" customFormat="1" x14ac:dyDescent="0.3"/>
    <row r="50" s="10" customFormat="1" x14ac:dyDescent="0.3"/>
    <row r="51" s="10" customFormat="1" x14ac:dyDescent="0.3"/>
    <row r="52" s="10" customFormat="1" x14ac:dyDescent="0.3"/>
    <row r="53" s="10" customFormat="1" x14ac:dyDescent="0.3"/>
    <row r="54" s="10" customFormat="1" x14ac:dyDescent="0.3"/>
    <row r="55" s="10" customFormat="1" x14ac:dyDescent="0.3"/>
    <row r="56" s="10" customFormat="1" x14ac:dyDescent="0.3"/>
    <row r="57" s="10" customFormat="1" x14ac:dyDescent="0.3"/>
    <row r="58" s="10" customFormat="1" x14ac:dyDescent="0.3"/>
    <row r="59" s="10" customFormat="1" x14ac:dyDescent="0.3"/>
    <row r="60" s="10" customFormat="1" x14ac:dyDescent="0.3"/>
    <row r="61" s="10" customFormat="1" x14ac:dyDescent="0.3"/>
    <row r="62" s="10" customFormat="1" x14ac:dyDescent="0.3"/>
    <row r="63" s="10" customFormat="1" x14ac:dyDescent="0.3"/>
    <row r="64" s="10" customFormat="1" x14ac:dyDescent="0.3"/>
    <row r="65" s="10" customFormat="1" x14ac:dyDescent="0.3"/>
    <row r="66" s="10" customFormat="1" x14ac:dyDescent="0.3"/>
    <row r="67" s="10" customFormat="1" x14ac:dyDescent="0.3"/>
    <row r="68" s="10" customFormat="1" x14ac:dyDescent="0.3"/>
    <row r="69" s="10" customFormat="1" x14ac:dyDescent="0.3"/>
    <row r="70" s="10" customFormat="1" x14ac:dyDescent="0.3"/>
    <row r="71" s="10" customFormat="1" x14ac:dyDescent="0.3"/>
    <row r="72" s="10" customFormat="1" x14ac:dyDescent="0.3"/>
    <row r="73" s="10" customFormat="1" x14ac:dyDescent="0.3"/>
    <row r="74" s="10" customFormat="1" x14ac:dyDescent="0.3"/>
    <row r="75" s="10" customFormat="1" x14ac:dyDescent="0.3"/>
    <row r="76" s="10" customFormat="1" x14ac:dyDescent="0.3"/>
    <row r="77" s="10" customFormat="1" x14ac:dyDescent="0.3"/>
    <row r="78" s="10" customFormat="1" x14ac:dyDescent="0.3"/>
    <row r="79" s="10" customFormat="1" x14ac:dyDescent="0.3"/>
    <row r="80" s="10" customFormat="1" x14ac:dyDescent="0.3"/>
    <row r="81" s="10" customFormat="1" x14ac:dyDescent="0.3"/>
    <row r="82" s="10" customFormat="1" x14ac:dyDescent="0.3"/>
    <row r="83" s="10" customFormat="1" x14ac:dyDescent="0.3"/>
  </sheetData>
  <sheetProtection sheet="1" objects="1" scenarios="1"/>
  <mergeCells count="11">
    <mergeCell ref="B12:C12"/>
    <mergeCell ref="B11:C11"/>
    <mergeCell ref="B17:C17"/>
    <mergeCell ref="B18:C18"/>
    <mergeCell ref="B19:C19"/>
    <mergeCell ref="B16:C16"/>
    <mergeCell ref="B23:C23"/>
    <mergeCell ref="B14:C14"/>
    <mergeCell ref="B13:C13"/>
    <mergeCell ref="B20:C20"/>
    <mergeCell ref="B21:C21"/>
  </mergeCells>
  <conditionalFormatting sqref="B24:D28">
    <cfRule type="expression" dxfId="0" priority="4">
      <formula>$A17=$D$18</formula>
    </cfRule>
  </conditionalFormatting>
  <dataValidations count="2">
    <dataValidation type="list" allowBlank="1" showInputMessage="1" showErrorMessage="1" sqref="C31" xr:uid="{511648A4-5728-40EC-BC09-3A954E0F30F0}">
      <formula1>"Conservador,Moderado,Agressivo"</formula1>
    </dataValidation>
    <dataValidation type="list" allowBlank="1" showInputMessage="1" showErrorMessage="1" errorTitle="Valor errado" error="Apenas os valores 2, 5, 10, 20 e 30 são aceitos." promptTitle="Insira um ano" prompt="Insira apenas anos de valores 2, 5, 10, 20 e 30." sqref="D18" xr:uid="{436456F7-91A7-4D95-9C6C-E52731F8413A}">
      <formula1>"2,5,10,20,30"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B7CD-0E9F-4612-A4C6-A903A98F398E}">
  <dimension ref="A2:D20"/>
  <sheetViews>
    <sheetView workbookViewId="0">
      <selection activeCell="D25" sqref="D25"/>
    </sheetView>
  </sheetViews>
  <sheetFormatPr defaultRowHeight="14.4" x14ac:dyDescent="0.3"/>
  <cols>
    <col min="1" max="1" width="27.5546875" customWidth="1"/>
    <col min="2" max="2" width="14.77734375" style="1" customWidth="1"/>
    <col min="3" max="3" width="15.21875" bestFit="1" customWidth="1"/>
    <col min="4" max="4" width="12.44140625" style="2" customWidth="1"/>
  </cols>
  <sheetData>
    <row r="2" spans="1:4" x14ac:dyDescent="0.3">
      <c r="A2" s="8" t="s">
        <v>14</v>
      </c>
      <c r="B2" s="4" t="s">
        <v>1</v>
      </c>
      <c r="C2" s="4" t="s">
        <v>12</v>
      </c>
      <c r="D2" s="4" t="s">
        <v>13</v>
      </c>
    </row>
    <row r="3" spans="1:4" x14ac:dyDescent="0.3">
      <c r="A3" t="str">
        <f>B3&amp;"-"&amp;C3</f>
        <v>Conservador-Papel</v>
      </c>
      <c r="B3" s="1" t="s">
        <v>3</v>
      </c>
      <c r="C3" s="2" t="s">
        <v>6</v>
      </c>
      <c r="D3" s="3">
        <v>0.3</v>
      </c>
    </row>
    <row r="4" spans="1:4" x14ac:dyDescent="0.3">
      <c r="A4" t="str">
        <f>B4&amp;"-"&amp;C4</f>
        <v>Conservador-Tijolo</v>
      </c>
      <c r="B4" s="1" t="s">
        <v>3</v>
      </c>
      <c r="C4" s="2" t="s">
        <v>7</v>
      </c>
      <c r="D4" s="3">
        <v>0.4</v>
      </c>
    </row>
    <row r="5" spans="1:4" x14ac:dyDescent="0.3">
      <c r="A5" t="str">
        <f>B5&amp;"-"&amp;C5</f>
        <v>Conservador-Desenvolvimento</v>
      </c>
      <c r="B5" s="1" t="s">
        <v>3</v>
      </c>
      <c r="C5" s="2" t="s">
        <v>8</v>
      </c>
      <c r="D5" s="3">
        <v>0.05</v>
      </c>
    </row>
    <row r="6" spans="1:4" x14ac:dyDescent="0.3">
      <c r="A6" t="str">
        <f>B6&amp;"-"&amp;C6</f>
        <v>Conservador-Híbridos</v>
      </c>
      <c r="B6" s="1" t="s">
        <v>3</v>
      </c>
      <c r="C6" s="2" t="s">
        <v>9</v>
      </c>
      <c r="D6" s="3">
        <v>0.1</v>
      </c>
    </row>
    <row r="7" spans="1:4" x14ac:dyDescent="0.3">
      <c r="A7" t="str">
        <f>B7&amp;"-"&amp;C7</f>
        <v>Conservador-FOFs</v>
      </c>
      <c r="B7" s="1" t="s">
        <v>3</v>
      </c>
      <c r="C7" s="2" t="s">
        <v>10</v>
      </c>
      <c r="D7" s="3">
        <v>0.1</v>
      </c>
    </row>
    <row r="8" spans="1:4" ht="15" thickBot="1" x14ac:dyDescent="0.35">
      <c r="A8" s="5" t="str">
        <f t="shared" ref="A8" si="0">B8&amp;"-"&amp;C8</f>
        <v>Conservador-Hotelarias</v>
      </c>
      <c r="B8" s="9" t="s">
        <v>3</v>
      </c>
      <c r="C8" s="6" t="s">
        <v>11</v>
      </c>
      <c r="D8" s="7">
        <v>0.05</v>
      </c>
    </row>
    <row r="9" spans="1:4" x14ac:dyDescent="0.3">
      <c r="A9" t="str">
        <f>B9&amp;"-"&amp;C9</f>
        <v>Moderado-Papel</v>
      </c>
      <c r="B9" s="1" t="s">
        <v>2</v>
      </c>
      <c r="C9" s="2" t="s">
        <v>6</v>
      </c>
      <c r="D9" s="3">
        <v>0.32</v>
      </c>
    </row>
    <row r="10" spans="1:4" x14ac:dyDescent="0.3">
      <c r="A10" t="str">
        <f t="shared" ref="A10:A14" si="1">B10&amp;"-"&amp;C10</f>
        <v>Moderado-Tijolo</v>
      </c>
      <c r="B10" s="1" t="s">
        <v>2</v>
      </c>
      <c r="C10" s="2" t="s">
        <v>7</v>
      </c>
      <c r="D10" s="3">
        <v>0.35</v>
      </c>
    </row>
    <row r="11" spans="1:4" x14ac:dyDescent="0.3">
      <c r="A11" t="str">
        <f t="shared" si="1"/>
        <v>Moderado-Desenvolvimento</v>
      </c>
      <c r="B11" s="1" t="s">
        <v>2</v>
      </c>
      <c r="C11" s="2" t="s">
        <v>8</v>
      </c>
      <c r="D11" s="3">
        <v>0.1</v>
      </c>
    </row>
    <row r="12" spans="1:4" x14ac:dyDescent="0.3">
      <c r="A12" t="str">
        <f t="shared" si="1"/>
        <v>Moderado-Híbridos</v>
      </c>
      <c r="B12" s="1" t="s">
        <v>2</v>
      </c>
      <c r="C12" s="2" t="s">
        <v>9</v>
      </c>
      <c r="D12" s="3">
        <v>0.08</v>
      </c>
    </row>
    <row r="13" spans="1:4" x14ac:dyDescent="0.3">
      <c r="A13" t="str">
        <f t="shared" si="1"/>
        <v>Moderado-FOFs</v>
      </c>
      <c r="B13" s="1" t="s">
        <v>2</v>
      </c>
      <c r="C13" s="2" t="s">
        <v>10</v>
      </c>
      <c r="D13" s="3">
        <v>0.05</v>
      </c>
    </row>
    <row r="14" spans="1:4" ht="15" thickBot="1" x14ac:dyDescent="0.35">
      <c r="A14" s="5" t="str">
        <f t="shared" si="1"/>
        <v>Moderado-Hotelarias</v>
      </c>
      <c r="B14" s="9" t="s">
        <v>2</v>
      </c>
      <c r="C14" s="6" t="s">
        <v>11</v>
      </c>
      <c r="D14" s="7">
        <v>0.1</v>
      </c>
    </row>
    <row r="15" spans="1:4" x14ac:dyDescent="0.3">
      <c r="A15" t="str">
        <f>B15&amp;"-"&amp;C15</f>
        <v>Agressivo-Papel</v>
      </c>
      <c r="B15" s="1" t="s">
        <v>15</v>
      </c>
      <c r="C15" s="2" t="s">
        <v>6</v>
      </c>
      <c r="D15" s="3">
        <v>0.5</v>
      </c>
    </row>
    <row r="16" spans="1:4" x14ac:dyDescent="0.3">
      <c r="A16" t="str">
        <f t="shared" ref="A16:A20" si="2">B16&amp;"-"&amp;C16</f>
        <v>Agressivo-Tijolo</v>
      </c>
      <c r="B16" s="1" t="s">
        <v>15</v>
      </c>
      <c r="C16" s="2" t="s">
        <v>7</v>
      </c>
      <c r="D16" s="3">
        <v>0.1</v>
      </c>
    </row>
    <row r="17" spans="1:4" x14ac:dyDescent="0.3">
      <c r="A17" t="str">
        <f t="shared" si="2"/>
        <v>Agressivo-Desenvolvimento</v>
      </c>
      <c r="B17" s="1" t="s">
        <v>15</v>
      </c>
      <c r="C17" s="2" t="s">
        <v>8</v>
      </c>
      <c r="D17" s="3">
        <v>0.2</v>
      </c>
    </row>
    <row r="18" spans="1:4" x14ac:dyDescent="0.3">
      <c r="A18" t="str">
        <f t="shared" si="2"/>
        <v>Agressivo-Híbridos</v>
      </c>
      <c r="B18" s="1" t="s">
        <v>15</v>
      </c>
      <c r="C18" s="2" t="s">
        <v>9</v>
      </c>
      <c r="D18" s="3">
        <v>0.05</v>
      </c>
    </row>
    <row r="19" spans="1:4" x14ac:dyDescent="0.3">
      <c r="A19" t="str">
        <f t="shared" si="2"/>
        <v>Agressivo-FOFs</v>
      </c>
      <c r="B19" s="1" t="s">
        <v>15</v>
      </c>
      <c r="C19" s="2" t="s">
        <v>10</v>
      </c>
      <c r="D19" s="3">
        <v>0.05</v>
      </c>
    </row>
    <row r="20" spans="1:4" x14ac:dyDescent="0.3">
      <c r="A20" t="str">
        <f t="shared" si="2"/>
        <v>Agressivo-Hotelarias</v>
      </c>
      <c r="B20" s="1" t="s">
        <v>15</v>
      </c>
      <c r="C20" s="2" t="s">
        <v>11</v>
      </c>
      <c r="D20" s="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Ferramenta de Controle de Inves</vt:lpstr>
      <vt:lpstr>Planilha2</vt:lpstr>
      <vt:lpstr>aporte</vt:lpstr>
      <vt:lpstr>patrimonio</vt:lpstr>
      <vt:lpstr>qtde_anos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Eva Coelho de Castro</dc:creator>
  <cp:lastModifiedBy>Ingrid Eva Coelho de Castro</cp:lastModifiedBy>
  <dcterms:created xsi:type="dcterms:W3CDTF">2025-12-30T14:34:03Z</dcterms:created>
  <dcterms:modified xsi:type="dcterms:W3CDTF">2026-01-01T19:53:14Z</dcterms:modified>
</cp:coreProperties>
</file>